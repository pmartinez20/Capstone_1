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4\Assignments\"/>
    </mc:Choice>
  </mc:AlternateContent>
  <xr:revisionPtr revIDLastSave="0" documentId="8_{B8D17453-5E6F-4613-87AC-892519873726}" xr6:coauthVersionLast="47" xr6:coauthVersionMax="47" xr10:uidLastSave="{00000000-0000-0000-0000-000000000000}"/>
  <bookViews>
    <workbookView xWindow="-108" yWindow="-108" windowWidth="23256" windowHeight="13896" xr2:uid="{9110FAFC-F419-4EDD-96C4-4054E446DCD1}"/>
  </bookViews>
  <sheets>
    <sheet name="Q9" sheetId="2" r:id="rId1"/>
  </sheets>
  <definedNames>
    <definedName name="ExternalData_1" localSheetId="0" hidden="1">'Q9'!$A$1:$D$12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207070-2F7D-4764-B105-CEF801318AC4}" keepAlive="1" name="Query - PIVOTCHART" description="Connection to the 'PIVOTCHART' query in the workbook." type="5" refreshedVersion="8" background="1" saveData="1">
    <dbPr connection="Provider=Microsoft.Mashup.OleDb.1;Data Source=$Workbook$;Location=PIVOTCHART;Extended Properties=&quot;&quot;" command="SELECT * FROM [PIVOTCHART]"/>
  </connection>
</connections>
</file>

<file path=xl/sharedStrings.xml><?xml version="1.0" encoding="utf-8"?>
<sst xmlns="http://schemas.openxmlformats.org/spreadsheetml/2006/main" count="29" uniqueCount="18">
  <si>
    <t>category_name</t>
  </si>
  <si>
    <t>total_revenue</t>
  </si>
  <si>
    <t>transaction_count</t>
  </si>
  <si>
    <t>total_bottles_sold</t>
  </si>
  <si>
    <t>WHISKEY LIQUEUR</t>
  </si>
  <si>
    <t>CREAM LIQUEURS</t>
  </si>
  <si>
    <t>IMPORTED GRAPE BRANDIES</t>
  </si>
  <si>
    <t>AMERICAN COCKTAILS</t>
  </si>
  <si>
    <t>AMERICAN GRAPE BRANDIES</t>
  </si>
  <si>
    <t>MISC. AMERICAN CORDIALS &amp; LIQUEURS</t>
  </si>
  <si>
    <t>BLACKBERRY BRANDIES</t>
  </si>
  <si>
    <t>APRICOT BRANDIES</t>
  </si>
  <si>
    <t>PEACH BRANDIES</t>
  </si>
  <si>
    <t>CHERRY BRANDIES</t>
  </si>
  <si>
    <t>MISCELLANEOUS BRANDIES</t>
  </si>
  <si>
    <t>Row Labels</t>
  </si>
  <si>
    <t>Grand Total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</si>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</sst>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[PivotChart.xlsx]Q9!PivotTable1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'Q9'!$F$2:$F$13</c:f>
              <c:strCache>
                <c:ptCount val="11"/>
                <c:pt idx="0">
                  <c:v>WHISKEY LIQUEUR</c:v>
                </c:pt>
                <c:pt idx="1">
                  <c:v>CREAM LIQUEURS</c:v>
                </c:pt>
                <c:pt idx="2">
                  <c:v>IMPORTED GRAPE BRANDIES</c:v>
                </c:pt>
                <c:pt idx="3">
                  <c:v>AMERICAN COCKTAILS</c:v>
                </c:pt>
                <c:pt idx="4">
                  <c:v>AMERICAN GRAPE BRANDIES</c:v>
                </c:pt>
                <c:pt idx="5">
                  <c:v>MISC. AMERICAN CORDIALS &amp; LIQUEURS</c:v>
                </c:pt>
                <c:pt idx="6">
                  <c:v>BLACKBERRY BRANDIES</c:v>
                </c:pt>
                <c:pt idx="7">
                  <c:v>APRICOT BRANDIES</c:v>
                </c:pt>
                <c:pt idx="8">
                  <c:v>PEACH BRANDIES</c:v>
                </c:pt>
                <c:pt idx="9">
                  <c:v>CHERRY BRANDIES</c:v>
                </c:pt>
                <c:pt idx="10">
                  <c:v>MISCELLANEOUS BRANDIES</c:v>
                </c:pt>
              </c:strCache>
            </c:strRef>
          </c:cat>
          <c:val>
            <c:numRef>
              <c:f>'Q9'!$G$2:$G$13</c:f>
              <c:numCache>
                <c:formatCode>General</c:formatCode>
                <c:ptCount val="11"/>
                <c:pt idx="0">
                  <c:v>19339201.420000002</c:v>
                </c:pt>
                <c:pt idx="1">
                  <c:v>9341711.9499999993</c:v>
                </c:pt>
                <c:pt idx="2">
                  <c:v>7741971.5700000003</c:v>
                </c:pt>
                <c:pt idx="3">
                  <c:v>6314010.8700000001</c:v>
                </c:pt>
                <c:pt idx="4">
                  <c:v>5136590.4800000004</c:v>
                </c:pt>
                <c:pt idx="5">
                  <c:v>3759224.2</c:v>
                </c:pt>
                <c:pt idx="6">
                  <c:v>1253553.1599999999</c:v>
                </c:pt>
                <c:pt idx="7">
                  <c:v>500573.54</c:v>
                </c:pt>
                <c:pt idx="8">
                  <c:v>215461.06</c:v>
                </c:pt>
                <c:pt idx="9">
                  <c:v>201389.55</c:v>
                </c:pt>
                <c:pt idx="10">
                  <c:v>115062.03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5-4914-8B78-EEBE3CB80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9914944"/>
        <c:axId val="249915904"/>
      </c:barChart>
      <c:catAx>
        <c:axId val="2499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15904"/>
        <c:crosses val="autoZero"/>
        <c:auto val="1"/>
        <c:lblAlgn val="ctr"/>
        <c:lblOffset val="100"/>
        <c:noMultiLvlLbl val="0"/>
      </c:catAx>
      <c:valAx>
        <c:axId val="24991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179070</xdr:rowOff>
    </xdr:from>
    <xdr:to>
      <xdr:col>5</xdr:col>
      <xdr:colOff>601980</xdr:colOff>
      <xdr:row>27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E2756-0B4A-2C51-347F-562E87A1E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martinez" refreshedDate="46143.059823263888" createdVersion="8" refreshedVersion="8" minRefreshableVersion="3" recordCount="11" xr:uid="{E286ADDF-02AB-43E2-AC6C-A95CC8BB78DF}">
  <cacheSource type="worksheet">
    <worksheetSource name="PIVOTCHART"/>
  </cacheSource>
  <cacheFields count="4">
    <cacheField name="category_name" numFmtId="0">
      <sharedItems count="11">
        <s v="WHISKEY LIQUEUR"/>
        <s v="CREAM LIQUEURS"/>
        <s v="IMPORTED GRAPE BRANDIES"/>
        <s v="AMERICAN COCKTAILS"/>
        <s v="AMERICAN GRAPE BRANDIES"/>
        <s v="MISC. AMERICAN CORDIALS &amp; LIQUEURS"/>
        <s v="BLACKBERRY BRANDIES"/>
        <s v="APRICOT BRANDIES"/>
        <s v="PEACH BRANDIES"/>
        <s v="CHERRY BRANDIES"/>
        <s v="MISCELLANEOUS BRANDIES"/>
      </sharedItems>
    </cacheField>
    <cacheField name="total_revenue" numFmtId="0">
      <sharedItems containsSemiMixedTypes="0" containsString="0" containsNumber="1" minValue="115062.03" maxValue="19339201.420000002"/>
    </cacheField>
    <cacheField name="transaction_count" numFmtId="0">
      <sharedItems containsSemiMixedTypes="0" containsString="0" containsNumber="1" containsInteger="1" minValue="907" maxValue="112655"/>
    </cacheField>
    <cacheField name="total_bottles_sold" numFmtId="0">
      <sharedItems containsSemiMixedTypes="0" containsString="0" containsNumber="1" containsInteger="1" minValue="5344" maxValue="1282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9339201.420000002"/>
    <n v="112655"/>
    <n v="1282480"/>
  </r>
  <r>
    <x v="1"/>
    <n v="9341711.9499999993"/>
    <n v="70285"/>
    <n v="506558"/>
  </r>
  <r>
    <x v="2"/>
    <n v="7741971.5700000003"/>
    <n v="47824"/>
    <n v="465402"/>
  </r>
  <r>
    <x v="3"/>
    <n v="6314010.8700000001"/>
    <n v="82719"/>
    <n v="602536"/>
  </r>
  <r>
    <x v="4"/>
    <n v="5136590.4800000004"/>
    <n v="78252"/>
    <n v="854924"/>
  </r>
  <r>
    <x v="5"/>
    <n v="3759224.2"/>
    <n v="43141"/>
    <n v="297507"/>
  </r>
  <r>
    <x v="6"/>
    <n v="1253553.1599999999"/>
    <n v="19028"/>
    <n v="141897"/>
  </r>
  <r>
    <x v="7"/>
    <n v="500573.54"/>
    <n v="9576"/>
    <n v="56671"/>
  </r>
  <r>
    <x v="8"/>
    <n v="215461.06"/>
    <n v="3868"/>
    <n v="31166"/>
  </r>
  <r>
    <x v="9"/>
    <n v="201389.55"/>
    <n v="4212"/>
    <n v="25809"/>
  </r>
  <r>
    <x v="10"/>
    <n v="115062.03"/>
    <n v="907"/>
    <n v="53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59690-BA42-41BA-BA2F-438ABCF47BD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1:G13" firstHeaderRow="1" firstDataRow="1" firstDataCol="1"/>
  <pivotFields count="4">
    <pivotField axis="axisRow" showAll="0" sortType="descending">
      <items count="12">
        <item x="3"/>
        <item x="4"/>
        <item x="7"/>
        <item x="6"/>
        <item x="9"/>
        <item x="1"/>
        <item x="2"/>
        <item x="5"/>
        <item x="10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0"/>
  </rowFields>
  <rowItems count="12">
    <i>
      <x v="10"/>
    </i>
    <i>
      <x v="5"/>
    </i>
    <i>
      <x v="6"/>
    </i>
    <i>
      <x/>
    </i>
    <i>
      <x v="1"/>
    </i>
    <i>
      <x v="7"/>
    </i>
    <i>
      <x v="3"/>
    </i>
    <i>
      <x v="2"/>
    </i>
    <i>
      <x v="9"/>
    </i>
    <i>
      <x v="4"/>
    </i>
    <i>
      <x v="8"/>
    </i>
    <i t="grand">
      <x/>
    </i>
  </rowItems>
  <colItems count="1">
    <i/>
  </colItems>
  <dataFields count="1">
    <dataField name="Sum of total_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0E0426-5306-41A2-BB8A-8A320EC53957}" autoFormatId="16" applyNumberFormats="0" applyBorderFormats="0" applyFontFormats="0" applyPatternFormats="0" applyAlignmentFormats="0" applyWidthHeightFormats="0">
  <queryTableRefresh nextId="5">
    <queryTableFields count="4">
      <queryTableField id="1" name="category_name" tableColumnId="1"/>
      <queryTableField id="2" name="total_revenue" tableColumnId="2"/>
      <queryTableField id="3" name="transaction_count" tableColumnId="3"/>
      <queryTableField id="4" name="total_bottles_sol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3C04C-8C26-4F82-8C55-9F5EF8088F06}" name="PIVOTCHART" displayName="PIVOTCHART" ref="A1:D12" tableType="queryTable" totalsRowShown="0">
  <autoFilter ref="A1:D12" xr:uid="{1173C04C-8C26-4F82-8C55-9F5EF8088F06}"/>
  <tableColumns count="4">
    <tableColumn id="1" xr3:uid="{F3BF59E1-4059-4FC3-B283-75DE14805876}" uniqueName="1" name="category_name" queryTableFieldId="1" dataDxfId="0"/>
    <tableColumn id="2" xr3:uid="{3FFB676D-98BB-4E21-B52E-E8DF3DEF7F39}" uniqueName="2" name="total_revenue" queryTableFieldId="2"/>
    <tableColumn id="3" xr3:uid="{894E98A5-DCC2-4008-8BBF-10DE7389880F}" uniqueName="3" name="transaction_count" queryTableFieldId="3"/>
    <tableColumn id="4" xr3:uid="{30DFFFD8-3A57-4975-862A-BAE514D70C3C}" uniqueName="4" name="total_bottles_sold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785A-AC93-4DAB-B15F-F6A163748F14}">
  <dimension ref="A1:G13"/>
  <sheetViews>
    <sheetView tabSelected="1" workbookViewId="0">
      <selection activeCell="G18" sqref="G18"/>
    </sheetView>
  </sheetViews>
  <sheetFormatPr defaultRowHeight="14.4" x14ac:dyDescent="0.3"/>
  <cols>
    <col min="1" max="1" width="34.21875" bestFit="1" customWidth="1"/>
    <col min="2" max="2" width="14" bestFit="1" customWidth="1"/>
    <col min="3" max="3" width="17.77734375" bestFit="1" customWidth="1"/>
    <col min="4" max="4" width="17.21875" bestFit="1" customWidth="1"/>
    <col min="6" max="6" width="34.21875" bestFit="1" customWidth="1"/>
    <col min="7" max="7" width="17.77734375" bestFit="1" customWidth="1"/>
    <col min="8" max="9" width="2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s="2" t="s">
        <v>15</v>
      </c>
      <c r="G1" s="3" t="s">
        <v>17</v>
      </c>
    </row>
    <row r="2" spans="1:7" x14ac:dyDescent="0.3">
      <c r="A2" s="1" t="s">
        <v>4</v>
      </c>
      <c r="B2">
        <v>19339201.420000002</v>
      </c>
      <c r="C2">
        <v>112655</v>
      </c>
      <c r="D2">
        <v>1282480</v>
      </c>
      <c r="F2" s="4" t="s">
        <v>4</v>
      </c>
      <c r="G2" s="5">
        <v>19339201.420000002</v>
      </c>
    </row>
    <row r="3" spans="1:7" x14ac:dyDescent="0.3">
      <c r="A3" s="1" t="s">
        <v>5</v>
      </c>
      <c r="B3">
        <v>9341711.9499999993</v>
      </c>
      <c r="C3">
        <v>70285</v>
      </c>
      <c r="D3">
        <v>506558</v>
      </c>
      <c r="F3" s="6" t="s">
        <v>5</v>
      </c>
      <c r="G3" s="7">
        <v>9341711.9499999993</v>
      </c>
    </row>
    <row r="4" spans="1:7" x14ac:dyDescent="0.3">
      <c r="A4" s="1" t="s">
        <v>6</v>
      </c>
      <c r="B4">
        <v>7741971.5700000003</v>
      </c>
      <c r="C4">
        <v>47824</v>
      </c>
      <c r="D4">
        <v>465402</v>
      </c>
      <c r="F4" s="6" t="s">
        <v>6</v>
      </c>
      <c r="G4" s="7">
        <v>7741971.5700000003</v>
      </c>
    </row>
    <row r="5" spans="1:7" x14ac:dyDescent="0.3">
      <c r="A5" s="1" t="s">
        <v>7</v>
      </c>
      <c r="B5">
        <v>6314010.8700000001</v>
      </c>
      <c r="C5">
        <v>82719</v>
      </c>
      <c r="D5">
        <v>602536</v>
      </c>
      <c r="F5" s="6" t="s">
        <v>7</v>
      </c>
      <c r="G5" s="7">
        <v>6314010.8700000001</v>
      </c>
    </row>
    <row r="6" spans="1:7" x14ac:dyDescent="0.3">
      <c r="A6" s="1" t="s">
        <v>8</v>
      </c>
      <c r="B6">
        <v>5136590.4800000004</v>
      </c>
      <c r="C6">
        <v>78252</v>
      </c>
      <c r="D6">
        <v>854924</v>
      </c>
      <c r="F6" s="6" t="s">
        <v>8</v>
      </c>
      <c r="G6" s="7">
        <v>5136590.4800000004</v>
      </c>
    </row>
    <row r="7" spans="1:7" x14ac:dyDescent="0.3">
      <c r="A7" s="1" t="s">
        <v>9</v>
      </c>
      <c r="B7">
        <v>3759224.2</v>
      </c>
      <c r="C7">
        <v>43141</v>
      </c>
      <c r="D7">
        <v>297507</v>
      </c>
      <c r="F7" s="6" t="s">
        <v>9</v>
      </c>
      <c r="G7" s="7">
        <v>3759224.2</v>
      </c>
    </row>
    <row r="8" spans="1:7" x14ac:dyDescent="0.3">
      <c r="A8" s="1" t="s">
        <v>10</v>
      </c>
      <c r="B8">
        <v>1253553.1599999999</v>
      </c>
      <c r="C8">
        <v>19028</v>
      </c>
      <c r="D8">
        <v>141897</v>
      </c>
      <c r="F8" s="6" t="s">
        <v>10</v>
      </c>
      <c r="G8" s="7">
        <v>1253553.1599999999</v>
      </c>
    </row>
    <row r="9" spans="1:7" x14ac:dyDescent="0.3">
      <c r="A9" s="1" t="s">
        <v>11</v>
      </c>
      <c r="B9">
        <v>500573.54</v>
      </c>
      <c r="C9">
        <v>9576</v>
      </c>
      <c r="D9">
        <v>56671</v>
      </c>
      <c r="F9" s="6" t="s">
        <v>11</v>
      </c>
      <c r="G9" s="7">
        <v>500573.54</v>
      </c>
    </row>
    <row r="10" spans="1:7" x14ac:dyDescent="0.3">
      <c r="A10" s="1" t="s">
        <v>12</v>
      </c>
      <c r="B10">
        <v>215461.06</v>
      </c>
      <c r="C10">
        <v>3868</v>
      </c>
      <c r="D10">
        <v>31166</v>
      </c>
      <c r="F10" s="6" t="s">
        <v>12</v>
      </c>
      <c r="G10" s="7">
        <v>215461.06</v>
      </c>
    </row>
    <row r="11" spans="1:7" x14ac:dyDescent="0.3">
      <c r="A11" s="1" t="s">
        <v>13</v>
      </c>
      <c r="B11">
        <v>201389.55</v>
      </c>
      <c r="C11">
        <v>4212</v>
      </c>
      <c r="D11">
        <v>25809</v>
      </c>
      <c r="F11" s="6" t="s">
        <v>13</v>
      </c>
      <c r="G11" s="7">
        <v>201389.55</v>
      </c>
    </row>
    <row r="12" spans="1:7" x14ac:dyDescent="0.3">
      <c r="A12" s="1" t="s">
        <v>14</v>
      </c>
      <c r="B12">
        <v>115062.03</v>
      </c>
      <c r="C12">
        <v>907</v>
      </c>
      <c r="D12">
        <v>5344</v>
      </c>
      <c r="F12" s="6" t="s">
        <v>14</v>
      </c>
      <c r="G12" s="7">
        <v>115062.03</v>
      </c>
    </row>
    <row r="13" spans="1:7" x14ac:dyDescent="0.3">
      <c r="F13" s="8" t="s">
        <v>16</v>
      </c>
      <c r="G13" s="9">
        <v>53918749.830000006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258DBA-A71C-46C6-85FB-1C883F10B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2026-05-01T06:24:48Z</dcterms:created>
  <dcterms:modified xsi:type="dcterms:W3CDTF">2026-05-01T06:35:38Z</dcterms:modified>
</cp:coreProperties>
</file>